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<sst xmlns="http://schemas.openxmlformats.org/spreadsheetml/2006/main" count="26" uniqueCount="23">
  <si>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Sample</t>
  </si>
  <si>
    <t xml:space="preserve">Depth top (cm)</t>
  </si>
  <si>
    <t xml:space="preserve">Depth bottom (cm)</t>
  </si>
  <si>
    <t xml:space="preserve">Depth middle (cm)</t>
  </si>
  <si>
    <t xml:space="preserve">lab. Number</t>
  </si>
  <si>
    <t xml:space="preserve">Conventional 14C age</t>
  </si>
  <si>
    <t xml:space="preserve">1sigma</t>
  </si>
  <si>
    <t xml:space="preserve">Carbon weight (mg)</t>
  </si>
  <si>
    <t xml:space="preserve">GS19_GC10_15cm</t>
  </si>
  <si>
    <t xml:space="preserve">LuS 16245</t>
  </si>
  <si>
    <t xml:space="preserve">0,6</t>
  </si>
  <si>
    <t xml:space="preserve">GS19_GC10_28cm</t>
  </si>
  <si>
    <t xml:space="preserve">LuS 16246</t>
  </si>
  <si>
    <t xml:space="preserve">GS19_GC10_38cm</t>
  </si>
  <si>
    <t xml:space="preserve">LuS 16247</t>
  </si>
  <si>
    <t xml:space="preserve">0,9</t>
  </si>
  <si>
    <t xml:space="preserve">GS19_GC10_78cm</t>
  </si>
  <si>
    <t xml:space="preserve">LuS 16248</t>
  </si>
  <si>
    <t xml:space="preserve">GS19_GC10_115cm</t>
  </si>
  <si>
    <t xml:space="preserve">LuS 16249</t>
  </si>
  <si>
    <t xml:space="preserve">GS19_GC10_165cm</t>
  </si>
  <si>
    <t xml:space="preserve">LuS 16250</t>
  </si>
  <si>
    <t xml:space="preserve">0,8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</si>
</sst>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0.484375" defaultRowHeight="15.75" zeroHeight="false" outlineLevelRow="0" outlineLevelCol="0"/>
  <cols>
    <col collapsed="false" customWidth="true" hidden="false" outlineLevel="0" max="1" min="1" style="0" width="27.67"/>
    <col collapsed="false" customWidth="true" hidden="false" outlineLevel="0" max="4" min="4" style="0" width="12.67"/>
    <col collapsed="false" customWidth="true" hidden="false" outlineLevel="0" max="5" min="5" style="0" width="11.33"/>
    <col collapsed="false" customWidth="true" hidden="false" outlineLevel="0" max="6" min="6" style="0" width="20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.75" hidden="false" customHeight="false" outlineLevel="0" collapsed="false">
      <c r="A2" s="1" t="s">
        <v>8</v>
      </c>
      <c r="B2" s="1" t="n">
        <v>15</v>
      </c>
      <c r="C2" s="0" t="n">
        <f aca="false">B2+1</f>
        <v>16</v>
      </c>
      <c r="D2" s="0" t="n">
        <f aca="false">(B2+0.5)</f>
        <v>15.5</v>
      </c>
      <c r="E2" s="2" t="s">
        <v>9</v>
      </c>
      <c r="F2" s="2" t="n">
        <v>9970</v>
      </c>
      <c r="G2" s="2" t="n">
        <v>50</v>
      </c>
      <c r="H2" s="2" t="s">
        <v>10</v>
      </c>
    </row>
    <row r="3" customFormat="false" ht="15.75" hidden="false" customHeight="false" outlineLevel="0" collapsed="false">
      <c r="A3" s="1" t="s">
        <v>11</v>
      </c>
      <c r="B3" s="1" t="n">
        <v>28</v>
      </c>
      <c r="C3" s="0" t="n">
        <f aca="false">B3+1</f>
        <v>29</v>
      </c>
      <c r="D3" s="0" t="n">
        <f aca="false">(B3+0.5)</f>
        <v>28.5</v>
      </c>
      <c r="E3" s="2" t="s">
        <v>12</v>
      </c>
      <c r="F3" s="2" t="n">
        <v>12060</v>
      </c>
      <c r="G3" s="2" t="n">
        <v>60</v>
      </c>
      <c r="H3" s="2" t="s">
        <v>10</v>
      </c>
    </row>
    <row r="4" customFormat="false" ht="15.75" hidden="false" customHeight="false" outlineLevel="0" collapsed="false">
      <c r="A4" s="1" t="s">
        <v>13</v>
      </c>
      <c r="B4" s="1" t="n">
        <v>38</v>
      </c>
      <c r="C4" s="0" t="n">
        <f aca="false">B4+1</f>
        <v>39</v>
      </c>
      <c r="D4" s="0" t="n">
        <f aca="false">(B4+0.5)</f>
        <v>38.5</v>
      </c>
      <c r="E4" s="2" t="s">
        <v>14</v>
      </c>
      <c r="F4" s="2" t="n">
        <v>15150</v>
      </c>
      <c r="G4" s="2" t="n">
        <v>70</v>
      </c>
      <c r="H4" s="2" t="s">
        <v>15</v>
      </c>
    </row>
    <row r="5" customFormat="false" ht="15.75" hidden="false" customHeight="false" outlineLevel="0" collapsed="false">
      <c r="A5" s="1" t="s">
        <v>16</v>
      </c>
      <c r="B5" s="1" t="n">
        <v>78</v>
      </c>
      <c r="C5" s="0" t="n">
        <f aca="false">B5+1</f>
        <v>79</v>
      </c>
      <c r="D5" s="0" t="n">
        <f aca="false">(B5+0.5)</f>
        <v>78.5</v>
      </c>
      <c r="E5" s="2" t="s">
        <v>17</v>
      </c>
      <c r="F5" s="2" t="n">
        <v>25300</v>
      </c>
      <c r="G5" s="2" t="n">
        <v>200</v>
      </c>
      <c r="H5" s="2" t="s">
        <v>10</v>
      </c>
    </row>
    <row r="6" customFormat="false" ht="15.75" hidden="false" customHeight="false" outlineLevel="0" collapsed="false">
      <c r="A6" s="1" t="s">
        <v>18</v>
      </c>
      <c r="B6" s="1" t="n">
        <v>115</v>
      </c>
      <c r="C6" s="0" t="n">
        <f aca="false">B6+1</f>
        <v>116</v>
      </c>
      <c r="D6" s="0" t="n">
        <f aca="false">(B6+0.5)</f>
        <v>115.5</v>
      </c>
      <c r="E6" s="2" t="s">
        <v>19</v>
      </c>
      <c r="F6" s="2" t="n">
        <v>32200</v>
      </c>
      <c r="G6" s="2" t="n">
        <v>400</v>
      </c>
      <c r="H6" s="2" t="s">
        <v>10</v>
      </c>
    </row>
    <row r="7" customFormat="false" ht="15.75" hidden="false" customHeight="false" outlineLevel="0" collapsed="false">
      <c r="A7" s="1" t="s">
        <v>20</v>
      </c>
      <c r="B7" s="1" t="n">
        <v>165</v>
      </c>
      <c r="C7" s="0" t="n">
        <f aca="false">B7+1</f>
        <v>166</v>
      </c>
      <c r="D7" s="0" t="n">
        <f aca="false">(B7+0.5)</f>
        <v>165.5</v>
      </c>
      <c r="E7" s="2" t="s">
        <v>21</v>
      </c>
      <c r="F7" s="2" t="n">
        <v>38400</v>
      </c>
      <c r="G7" s="2" t="n">
        <v>900</v>
      </c>
      <c r="H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2021-02-15T10:02:26Z</dcterms:created>
  <dc:creator>Jo Brendryen</dc:creator>
  <dc:description/>
  <dc:language>en-US</dc:language>
  <cp:lastModifiedBy/>
  <dcterms:modified xsi:type="dcterms:W3CDTF">2025-11-19T13:18:44Z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